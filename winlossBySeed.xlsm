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26775" windowHeight="13275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Sheet2!$A$2:$D$62</definedName>
  </definedNames>
  <calcPr calcId="125725"/>
</workbook>
</file>

<file path=xl/calcChain.xml><?xml version="1.0" encoding="utf-8"?>
<calcChain xmlns="http://schemas.openxmlformats.org/spreadsheetml/2006/main">
  <c r="F70" i="2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R12" i="1"/>
  <c r="R17"/>
  <c r="R16"/>
  <c r="R15"/>
  <c r="R14"/>
  <c r="R13"/>
  <c r="R11"/>
  <c r="R10"/>
  <c r="R9"/>
  <c r="R8"/>
  <c r="R7"/>
  <c r="R6"/>
  <c r="R4"/>
  <c r="R5"/>
  <c r="R3"/>
</calcChain>
</file>

<file path=xl/sharedStrings.xml><?xml version="1.0" encoding="utf-8"?>
<sst xmlns="http://schemas.openxmlformats.org/spreadsheetml/2006/main" count="265" uniqueCount="128">
  <si>
    <t>3W 0L</t>
  </si>
  <si>
    <t>0W 0L</t>
  </si>
  <si>
    <t>108W 0L</t>
  </si>
  <si>
    <t>18W 0L</t>
  </si>
  <si>
    <t>2W 3L</t>
  </si>
  <si>
    <t>4W 0L</t>
  </si>
  <si>
    <t>53W 4L</t>
  </si>
  <si>
    <t>42W 11L</t>
  </si>
  <si>
    <t>7W 3L</t>
  </si>
  <si>
    <t>32W 7L</t>
  </si>
  <si>
    <t>32W 13L</t>
  </si>
  <si>
    <t>14W 12L</t>
  </si>
  <si>
    <t>29W 23L</t>
  </si>
  <si>
    <t>104W 4L</t>
  </si>
  <si>
    <t>1W 0L</t>
  </si>
  <si>
    <t>10W 1L</t>
  </si>
  <si>
    <t>23W 17L</t>
  </si>
  <si>
    <t>47W 17L</t>
  </si>
  <si>
    <t>20W 7L</t>
  </si>
  <si>
    <t>0W 5L</t>
  </si>
  <si>
    <t>3W 4L</t>
  </si>
  <si>
    <t>28W 17L</t>
  </si>
  <si>
    <t>92W 16L</t>
  </si>
  <si>
    <t>23W 11L</t>
  </si>
  <si>
    <t>8W 4L</t>
  </si>
  <si>
    <t>2W 0L</t>
  </si>
  <si>
    <t>6W 2L</t>
  </si>
  <si>
    <t>33W 26L</t>
  </si>
  <si>
    <t>2W 1L</t>
  </si>
  <si>
    <t>4W 1L</t>
  </si>
  <si>
    <t>85W 23L</t>
  </si>
  <si>
    <t>16W 11L</t>
  </si>
  <si>
    <t>2W 4L</t>
  </si>
  <si>
    <t>2W 2L</t>
  </si>
  <si>
    <t>31W 28L</t>
  </si>
  <si>
    <t>11W 3L</t>
  </si>
  <si>
    <t>72W 36L</t>
  </si>
  <si>
    <t>1W 1L</t>
  </si>
  <si>
    <t>1W 2L</t>
  </si>
  <si>
    <t>Winrate</t>
  </si>
  <si>
    <t>Seed Differential</t>
  </si>
  <si>
    <t>11W 2L</t>
  </si>
  <si>
    <t>4W 2L</t>
  </si>
  <si>
    <t>0W 1L</t>
  </si>
  <si>
    <t>3W 3L</t>
  </si>
  <si>
    <t>0W 3L</t>
  </si>
  <si>
    <t>65W 43L</t>
  </si>
  <si>
    <t>Wins/Losses Distributed By Seed from 1985-2011</t>
  </si>
  <si>
    <t>51W 57L</t>
  </si>
  <si>
    <t>8W 1L</t>
  </si>
  <si>
    <t>Sagarin</t>
  </si>
  <si>
    <t>Team</t>
  </si>
  <si>
    <t>Kentucky</t>
  </si>
  <si>
    <t>Ohio State</t>
  </si>
  <si>
    <t>Michigan State</t>
  </si>
  <si>
    <t>Kansas</t>
  </si>
  <si>
    <t>Syracuse</t>
  </si>
  <si>
    <t>Missouri</t>
  </si>
  <si>
    <t>Wisconsin</t>
  </si>
  <si>
    <t>Indiana</t>
  </si>
  <si>
    <t>Wichita State</t>
  </si>
  <si>
    <t>Duke</t>
  </si>
  <si>
    <t>Baylor</t>
  </si>
  <si>
    <t>Memphis</t>
  </si>
  <si>
    <t>Georgetown</t>
  </si>
  <si>
    <t>Marquette</t>
  </si>
  <si>
    <t>New Mexico</t>
  </si>
  <si>
    <t>Florida</t>
  </si>
  <si>
    <t>Louisville</t>
  </si>
  <si>
    <t>Vanderbilt</t>
  </si>
  <si>
    <t>Florida State</t>
  </si>
  <si>
    <t>Kansas State</t>
  </si>
  <si>
    <t>Michigan</t>
  </si>
  <si>
    <t>UNLV</t>
  </si>
  <si>
    <t>Creighton</t>
  </si>
  <si>
    <t>Virginia</t>
  </si>
  <si>
    <t>Texas</t>
  </si>
  <si>
    <t>Purdue</t>
  </si>
  <si>
    <t>Alabama</t>
  </si>
  <si>
    <t>Gonzaga</t>
  </si>
  <si>
    <t>Pure Points</t>
  </si>
  <si>
    <t>Notre Dame</t>
  </si>
  <si>
    <t>Iowa State</t>
  </si>
  <si>
    <t>Connecticut</t>
  </si>
  <si>
    <t>Xavier</t>
  </si>
  <si>
    <t>Colorado</t>
  </si>
  <si>
    <t>VCU</t>
  </si>
  <si>
    <t>New Mexico State</t>
  </si>
  <si>
    <t>South Dakota State</t>
  </si>
  <si>
    <t>Lehigh</t>
  </si>
  <si>
    <t>Murray State</t>
  </si>
  <si>
    <t>Colorado State</t>
  </si>
  <si>
    <t>Long Beach State</t>
  </si>
  <si>
    <t>Davidson</t>
  </si>
  <si>
    <t>Norfolk State</t>
  </si>
  <si>
    <t>Long Island</t>
  </si>
  <si>
    <t>Cincinatti</t>
  </si>
  <si>
    <t>Southern Miss</t>
  </si>
  <si>
    <t>West Virginia</t>
  </si>
  <si>
    <t>Harvard</t>
  </si>
  <si>
    <t>Montana</t>
  </si>
  <si>
    <t>St. Bonaventure</t>
  </si>
  <si>
    <t>Loyola (MD)</t>
  </si>
  <si>
    <t>UNC-Asheville</t>
  </si>
  <si>
    <t>Temple</t>
  </si>
  <si>
    <t>San Diego State</t>
  </si>
  <si>
    <t>Saint Mary's</t>
  </si>
  <si>
    <t>North Carolina State</t>
  </si>
  <si>
    <t>Belmont</t>
  </si>
  <si>
    <t>Detroit</t>
  </si>
  <si>
    <t>Ohio</t>
  </si>
  <si>
    <t>Seed</t>
  </si>
  <si>
    <t>St. Louis</t>
  </si>
  <si>
    <t>Western Kentucky</t>
  </si>
  <si>
    <t>BYU</t>
  </si>
  <si>
    <t>Lamar</t>
  </si>
  <si>
    <t>Quadrant</t>
  </si>
  <si>
    <t>South</t>
  </si>
  <si>
    <t>West</t>
  </si>
  <si>
    <t>Midwest</t>
  </si>
  <si>
    <t>UNC</t>
  </si>
  <si>
    <t>East</t>
  </si>
  <si>
    <t>California</t>
  </si>
  <si>
    <t>JSON</t>
  </si>
  <si>
    <t>Mississippi Valley State</t>
  </si>
  <si>
    <t>Iona</t>
  </si>
  <si>
    <t>Vermont</t>
  </si>
  <si>
    <t>South Florida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</si>
</sst>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1" tint="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16">
    <xf numFmtId="0" fontId="0" fillId="0" borderId="0" xfId="0"/>
    <xf numFmtId="0" fontId="3" fillId="3" borderId="2" xfId="2"/>
    <xf numFmtId="9" fontId="3" fillId="3" borderId="2" xfId="2" applyNumberFormat="1"/>
    <xf numFmtId="0" fontId="0" fillId="0" borderId="0" xfId="0" applyNumberFormat="1"/>
    <xf numFmtId="17" fontId="0" fillId="0" borderId="0" xfId="0" applyNumberFormat="1"/>
    <xf numFmtId="0" fontId="1" fillId="4" borderId="0" xfId="3" applyNumberFormat="1"/>
    <xf numFmtId="0" fontId="0" fillId="4" borderId="0" xfId="3" applyFont="1"/>
    <xf numFmtId="9" fontId="1" fillId="6" borderId="0" xfId="4" applyNumberFormat="1" applyFill="1"/>
    <xf numFmtId="0" fontId="4" fillId="0" borderId="0" xfId="0" applyFont="1"/>
    <xf numFmtId="0" fontId="2" fillId="2" borderId="1" xfId="1" applyFont="1"/>
    <xf numFmtId="10" fontId="2" fillId="2" borderId="1" xfId="1" applyNumberFormat="1"/>
    <xf numFmtId="0" fontId="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4" fillId="0" borderId="3" xfId="0" applyFont="1" applyBorder="1"/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5">
    <cellStyle name="20% - Accent3" xfId="3" builtinId="38"/>
    <cellStyle name="40% - Accent4" xfId="4" builtinId="43"/>
    <cellStyle name="Calculation" xfId="1" builtinId="22"/>
    <cellStyle name="Check Cell" xfId="2" builtinId="2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1.8876404494382028E-2"/>
          <c:y val="1.6338737345447444E-2"/>
          <c:w val="0.9533558642248372"/>
          <c:h val="0.83872269366754304"/>
        </c:manualLayout>
      </c:layout>
      <c:scatterChart>
        <c:scatterStyle val="lineMarker"/>
        <c:ser>
          <c:idx val="0"/>
          <c:order val="0"/>
          <c:tx>
            <c:v>Winrate</c:v>
          </c:tx>
          <c:spPr>
            <a:ln w="28575">
              <a:noFill/>
            </a:ln>
          </c:spPr>
          <c:trendline>
            <c:trendlineType val="linear"/>
          </c:trendline>
          <c:trendline>
            <c:trendlineType val="linear"/>
          </c:trendline>
          <c:trendline>
            <c:trendlineType val="log"/>
          </c:trendline>
          <c:trendline>
            <c:trendlineType val="linear"/>
            <c:forward val="2"/>
            <c:intercept val="0.5"/>
            <c:dispRSqr val="1"/>
            <c:dispEq val="1"/>
            <c:trendlineLbl>
              <c:layout>
                <c:manualLayout>
                  <c:x val="-0.83003002152820782"/>
                  <c:y val="-0.25880714273215849"/>
                </c:manualLayout>
              </c:layout>
              <c:numFmt formatCode="General" sourceLinked="0"/>
            </c:trendlineLbl>
          </c:trendline>
          <c:trendline>
            <c:trendlineType val="power"/>
          </c:trendline>
          <c:xVal>
            <c:numRef>
              <c:f>(Sheet1!$S$3,Sheet1!$S$5:$S$7,Sheet1!$S$9:$S$18)</c:f>
              <c:numCache>
                <c:formatCode>General</c:formatCode>
                <c:ptCount val="14"/>
                <c:pt idx="0">
                  <c:v>-15</c:v>
                </c:pt>
                <c:pt idx="1">
                  <c:v>-13</c:v>
                </c:pt>
                <c:pt idx="2">
                  <c:v>-12</c:v>
                </c:pt>
                <c:pt idx="3">
                  <c:v>-11</c:v>
                </c:pt>
                <c:pt idx="4">
                  <c:v>-9</c:v>
                </c:pt>
                <c:pt idx="5">
                  <c:v>-8</c:v>
                </c:pt>
                <c:pt idx="6">
                  <c:v>-7</c:v>
                </c:pt>
                <c:pt idx="7">
                  <c:v>-6</c:v>
                </c:pt>
                <c:pt idx="8">
                  <c:v>-5</c:v>
                </c:pt>
                <c:pt idx="9">
                  <c:v>-4</c:v>
                </c:pt>
                <c:pt idx="10">
                  <c:v>-3</c:v>
                </c:pt>
                <c:pt idx="11">
                  <c:v>-2</c:v>
                </c:pt>
                <c:pt idx="12">
                  <c:v>-1</c:v>
                </c:pt>
                <c:pt idx="13">
                  <c:v>0</c:v>
                </c:pt>
              </c:numCache>
            </c:numRef>
          </c:xVal>
          <c:yVal>
            <c:numRef>
              <c:f>(Sheet1!$R$3,Sheet1!$R$5:$R$7,Sheet1!$R$9:$R$18)</c:f>
              <c:numCache>
                <c:formatCode>0.00%</c:formatCode>
                <c:ptCount val="14"/>
                <c:pt idx="0">
                  <c:v>1</c:v>
                </c:pt>
                <c:pt idx="1">
                  <c:v>0.96296296296296302</c:v>
                </c:pt>
                <c:pt idx="2">
                  <c:v>1</c:v>
                </c:pt>
                <c:pt idx="3">
                  <c:v>0.87301587301587302</c:v>
                </c:pt>
                <c:pt idx="4">
                  <c:v>0.80645161290322598</c:v>
                </c:pt>
                <c:pt idx="5">
                  <c:v>0.74054054054054097</c:v>
                </c:pt>
                <c:pt idx="6">
                  <c:v>0.70689655172413801</c:v>
                </c:pt>
                <c:pt idx="7">
                  <c:v>0.75</c:v>
                </c:pt>
                <c:pt idx="8">
                  <c:v>0.706806282722513</c:v>
                </c:pt>
                <c:pt idx="9">
                  <c:v>0.70967741935483897</c:v>
                </c:pt>
                <c:pt idx="10">
                  <c:v>0.60444444444444401</c:v>
                </c:pt>
                <c:pt idx="11">
                  <c:v>0.51219512195121997</c:v>
                </c:pt>
                <c:pt idx="12">
                  <c:v>0.54006968641115005</c:v>
                </c:pt>
                <c:pt idx="13">
                  <c:v>0.5</c:v>
                </c:pt>
              </c:numCache>
            </c:numRef>
          </c:yVal>
        </c:ser>
        <c:axId val="131887104"/>
        <c:axId val="131888640"/>
      </c:scatterChart>
      <c:valAx>
        <c:axId val="131887104"/>
        <c:scaling>
          <c:orientation val="minMax"/>
          <c:max val="0"/>
          <c:min val="-15"/>
        </c:scaling>
        <c:axPos val="b"/>
        <c:numFmt formatCode="General" sourceLinked="1"/>
        <c:majorTickMark val="none"/>
        <c:tickLblPos val="nextTo"/>
        <c:crossAx val="131888640"/>
        <c:crosses val="autoZero"/>
        <c:crossBetween val="midCat"/>
        <c:majorUnit val="1"/>
      </c:valAx>
      <c:valAx>
        <c:axId val="131888640"/>
        <c:scaling>
          <c:orientation val="minMax"/>
          <c:max val="1.05"/>
          <c:min val="0"/>
        </c:scaling>
        <c:axPos val="l"/>
        <c:majorGridlines/>
        <c:numFmt formatCode="0.00%" sourceLinked="1"/>
        <c:majorTickMark val="none"/>
        <c:tickLblPos val="nextTo"/>
        <c:crossAx val="131887104"/>
        <c:crosses val="autoZero"/>
        <c:crossBetween val="midCat"/>
        <c:majorUnit val="0.1"/>
        <c:minorUnit val="0.05"/>
      </c:valAx>
    </c:plotArea>
    <c:legend>
      <c:legendPos val="b"/>
      <c:legendEntry>
        <c:idx val="1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95249</xdr:rowOff>
    </xdr:from>
    <xdr:to>
      <xdr:col>14</xdr:col>
      <xdr:colOff>533400</xdr:colOff>
      <xdr:row>43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19"/>
  <sheetViews>
    <sheetView tabSelected="1" workbookViewId="0">
      <selection activeCell="Q29" sqref="Q29"/>
    </sheetView>
  </sheetViews>
  <sheetFormatPr defaultRowHeight="15"/>
  <cols>
    <col min="2" max="2" width="9.42578125" customWidth="1"/>
    <col min="18" max="18" width="8.42578125" customWidth="1"/>
    <col min="19" max="19" width="16.5703125" customWidth="1"/>
  </cols>
  <sheetData>
    <row r="1" spans="1:19">
      <c r="A1" s="8" t="s">
        <v>47</v>
      </c>
    </row>
    <row r="2" spans="1:19">
      <c r="B2" s="8">
        <v>1</v>
      </c>
      <c r="C2" s="8">
        <v>2</v>
      </c>
      <c r="D2" s="8">
        <v>3</v>
      </c>
      <c r="E2" s="8">
        <v>4</v>
      </c>
      <c r="F2" s="8">
        <v>5</v>
      </c>
      <c r="G2" s="8">
        <v>6</v>
      </c>
      <c r="H2" s="8">
        <v>7</v>
      </c>
      <c r="I2" s="8">
        <v>8</v>
      </c>
      <c r="J2" s="8">
        <v>9</v>
      </c>
      <c r="K2" s="8">
        <v>10</v>
      </c>
      <c r="L2" s="8">
        <v>11</v>
      </c>
      <c r="M2" s="8">
        <v>12</v>
      </c>
      <c r="N2" s="8">
        <v>13</v>
      </c>
      <c r="O2" s="8">
        <v>14</v>
      </c>
      <c r="P2" s="8">
        <v>15</v>
      </c>
      <c r="Q2" s="8">
        <v>16</v>
      </c>
      <c r="R2" s="9" t="s">
        <v>39</v>
      </c>
      <c r="S2" s="11" t="s">
        <v>40</v>
      </c>
    </row>
    <row r="3" spans="1:19" ht="15.75" thickBot="1">
      <c r="A3" s="8">
        <v>1</v>
      </c>
      <c r="B3" s="7"/>
      <c r="C3" s="3" t="s">
        <v>12</v>
      </c>
      <c r="D3" s="3" t="s">
        <v>11</v>
      </c>
      <c r="E3" s="3" t="s">
        <v>10</v>
      </c>
      <c r="F3" s="3" t="s">
        <v>9</v>
      </c>
      <c r="G3" s="3" t="s">
        <v>8</v>
      </c>
      <c r="H3" s="3" t="s">
        <v>5</v>
      </c>
      <c r="I3" t="s">
        <v>7</v>
      </c>
      <c r="J3" t="s">
        <v>6</v>
      </c>
      <c r="K3" s="3" t="s">
        <v>5</v>
      </c>
      <c r="L3" s="3" t="s">
        <v>4</v>
      </c>
      <c r="M3" s="3" t="s">
        <v>3</v>
      </c>
      <c r="N3" s="4" t="s">
        <v>0</v>
      </c>
      <c r="O3" s="3" t="s">
        <v>1</v>
      </c>
      <c r="P3" s="3" t="s">
        <v>1</v>
      </c>
      <c r="Q3" s="5" t="s">
        <v>2</v>
      </c>
      <c r="R3" s="10">
        <f>GetWinPercentages(Q3)</f>
        <v>1</v>
      </c>
      <c r="S3" s="12">
        <v>-15</v>
      </c>
    </row>
    <row r="4" spans="1:19" ht="16.5" thickTop="1" thickBot="1">
      <c r="A4" s="8">
        <v>2</v>
      </c>
      <c r="B4" s="1"/>
      <c r="C4" s="7"/>
      <c r="D4" s="3" t="s">
        <v>21</v>
      </c>
      <c r="E4" s="3" t="s">
        <v>20</v>
      </c>
      <c r="F4" s="3" t="s">
        <v>19</v>
      </c>
      <c r="G4" s="3" t="s">
        <v>18</v>
      </c>
      <c r="H4" t="s">
        <v>17</v>
      </c>
      <c r="I4" s="3" t="s">
        <v>4</v>
      </c>
      <c r="J4" s="3" t="s">
        <v>1</v>
      </c>
      <c r="K4" s="3" t="s">
        <v>16</v>
      </c>
      <c r="L4" s="3" t="s">
        <v>15</v>
      </c>
      <c r="M4" s="3" t="s">
        <v>14</v>
      </c>
      <c r="N4" s="3" t="s">
        <v>1</v>
      </c>
      <c r="O4" s="3" t="s">
        <v>1</v>
      </c>
      <c r="P4" s="5" t="s">
        <v>13</v>
      </c>
      <c r="Q4" s="3" t="s">
        <v>1</v>
      </c>
      <c r="R4" s="10" t="str">
        <f>GetWinPercentages(P3, Q4)</f>
        <v/>
      </c>
      <c r="S4" s="12">
        <v>-14</v>
      </c>
    </row>
    <row r="5" spans="1:19" ht="16.5" thickTop="1" thickBot="1">
      <c r="A5" s="8">
        <v>3</v>
      </c>
      <c r="B5" s="1"/>
      <c r="C5" s="1"/>
      <c r="D5" s="7"/>
      <c r="E5" t="s">
        <v>29</v>
      </c>
      <c r="F5" t="s">
        <v>28</v>
      </c>
      <c r="G5" t="s">
        <v>27</v>
      </c>
      <c r="H5" t="s">
        <v>26</v>
      </c>
      <c r="I5" t="s">
        <v>25</v>
      </c>
      <c r="J5" t="s">
        <v>14</v>
      </c>
      <c r="K5" t="s">
        <v>24</v>
      </c>
      <c r="L5" t="s">
        <v>23</v>
      </c>
      <c r="M5" t="s">
        <v>1</v>
      </c>
      <c r="N5" t="s">
        <v>1</v>
      </c>
      <c r="O5" s="6" t="s">
        <v>22</v>
      </c>
      <c r="P5" t="s">
        <v>1</v>
      </c>
      <c r="Q5" s="3" t="s">
        <v>1</v>
      </c>
      <c r="R5" s="10">
        <f>GetWinPercentages(O3, P4,Q5)</f>
        <v>0.96296296296296302</v>
      </c>
      <c r="S5" s="12">
        <v>-13</v>
      </c>
    </row>
    <row r="6" spans="1:19" ht="16.5" thickTop="1" thickBot="1">
      <c r="A6" s="8">
        <v>4</v>
      </c>
      <c r="B6" s="1"/>
      <c r="C6" s="1"/>
      <c r="D6" s="1"/>
      <c r="E6" s="7"/>
      <c r="F6" t="s">
        <v>34</v>
      </c>
      <c r="G6" t="s">
        <v>33</v>
      </c>
      <c r="H6" t="s">
        <v>14</v>
      </c>
      <c r="I6" t="s">
        <v>32</v>
      </c>
      <c r="J6" t="s">
        <v>25</v>
      </c>
      <c r="K6" t="s">
        <v>25</v>
      </c>
      <c r="L6" t="s">
        <v>1</v>
      </c>
      <c r="M6" t="s">
        <v>31</v>
      </c>
      <c r="N6" s="6" t="s">
        <v>30</v>
      </c>
      <c r="O6" s="3" t="s">
        <v>1</v>
      </c>
      <c r="P6" t="s">
        <v>1</v>
      </c>
      <c r="Q6" s="3" t="s">
        <v>1</v>
      </c>
      <c r="R6" s="10">
        <f>GetWinPercentages(N3, O4,P5,Q6)</f>
        <v>1</v>
      </c>
      <c r="S6" s="12">
        <v>-12</v>
      </c>
    </row>
    <row r="7" spans="1:19" ht="16.5" thickTop="1" thickBot="1">
      <c r="A7" s="8">
        <v>5</v>
      </c>
      <c r="B7" s="1"/>
      <c r="C7" s="1"/>
      <c r="D7" s="1"/>
      <c r="E7" s="1"/>
      <c r="F7" s="7"/>
      <c r="G7" t="s">
        <v>14</v>
      </c>
      <c r="H7" t="s">
        <v>1</v>
      </c>
      <c r="I7" t="s">
        <v>38</v>
      </c>
      <c r="J7" t="s">
        <v>37</v>
      </c>
      <c r="K7" t="s">
        <v>14</v>
      </c>
      <c r="L7" t="s">
        <v>1</v>
      </c>
      <c r="M7" s="6" t="s">
        <v>36</v>
      </c>
      <c r="N7" t="s">
        <v>35</v>
      </c>
      <c r="O7" s="3" t="s">
        <v>1</v>
      </c>
      <c r="P7" t="s">
        <v>1</v>
      </c>
      <c r="Q7" s="3" t="s">
        <v>1</v>
      </c>
      <c r="R7" s="10">
        <f>GetWinPercentages(M3,N4, O5,P6,Q7)</f>
        <v>0.87301587301587302</v>
      </c>
      <c r="S7" s="12">
        <v>-11</v>
      </c>
    </row>
    <row r="8" spans="1:19" ht="16.5" thickTop="1" thickBot="1">
      <c r="A8" s="8">
        <v>6</v>
      </c>
      <c r="B8" s="1"/>
      <c r="C8" s="1"/>
      <c r="D8" s="1"/>
      <c r="E8" s="1"/>
      <c r="F8" s="1"/>
      <c r="G8" s="7"/>
      <c r="H8" t="s">
        <v>44</v>
      </c>
      <c r="I8" t="s">
        <v>43</v>
      </c>
      <c r="J8" t="s">
        <v>1</v>
      </c>
      <c r="K8" t="s">
        <v>42</v>
      </c>
      <c r="L8" s="6" t="s">
        <v>36</v>
      </c>
      <c r="M8" t="s">
        <v>1</v>
      </c>
      <c r="N8" t="s">
        <v>1</v>
      </c>
      <c r="O8" s="3" t="s">
        <v>41</v>
      </c>
      <c r="P8" t="s">
        <v>14</v>
      </c>
      <c r="Q8" s="3" t="s">
        <v>1</v>
      </c>
      <c r="R8" s="10">
        <f>GetWinPercentages(L3,M4,N5, O6,P7,Q8)</f>
        <v>0.5</v>
      </c>
      <c r="S8" s="12">
        <v>-10</v>
      </c>
    </row>
    <row r="9" spans="1:19" ht="16.5" thickTop="1" thickBot="1">
      <c r="A9" s="8">
        <v>7</v>
      </c>
      <c r="B9" s="1"/>
      <c r="C9" s="1"/>
      <c r="D9" s="1"/>
      <c r="E9" s="1"/>
      <c r="F9" s="1"/>
      <c r="G9" s="1"/>
      <c r="H9" s="7"/>
      <c r="I9" t="s">
        <v>43</v>
      </c>
      <c r="J9" t="s">
        <v>1</v>
      </c>
      <c r="K9" s="6" t="s">
        <v>46</v>
      </c>
      <c r="L9" t="s">
        <v>45</v>
      </c>
      <c r="M9" t="s">
        <v>1</v>
      </c>
      <c r="N9" t="s">
        <v>1</v>
      </c>
      <c r="O9" s="3" t="s">
        <v>14</v>
      </c>
      <c r="P9" t="s">
        <v>1</v>
      </c>
      <c r="Q9" s="3" t="s">
        <v>1</v>
      </c>
      <c r="R9" s="10">
        <f>GetWinPercentages(K3,L4,M5,N6, O7,P8,Q9)</f>
        <v>0.80645161290322598</v>
      </c>
      <c r="S9" s="12">
        <v>-9</v>
      </c>
    </row>
    <row r="10" spans="1:19" ht="16.5" thickTop="1" thickBot="1">
      <c r="A10" s="8">
        <v>8</v>
      </c>
      <c r="B10" s="1"/>
      <c r="C10" s="1"/>
      <c r="D10" s="1"/>
      <c r="E10" s="1"/>
      <c r="F10" s="1"/>
      <c r="G10" s="1"/>
      <c r="H10" s="1"/>
      <c r="I10" s="7"/>
      <c r="J10" s="6" t="s">
        <v>48</v>
      </c>
      <c r="K10" t="s">
        <v>1</v>
      </c>
      <c r="L10" t="s">
        <v>14</v>
      </c>
      <c r="M10" t="s">
        <v>43</v>
      </c>
      <c r="N10" t="s">
        <v>14</v>
      </c>
      <c r="O10" s="3" t="s">
        <v>1</v>
      </c>
      <c r="P10" t="s">
        <v>1</v>
      </c>
      <c r="Q10" s="3" t="s">
        <v>1</v>
      </c>
      <c r="R10" s="10">
        <f>GetWinPercentages(J3,K4,L5,M6,N7, O8,P9,Q10)</f>
        <v>0.74054054054054097</v>
      </c>
      <c r="S10" s="12">
        <v>-8</v>
      </c>
    </row>
    <row r="11" spans="1:19" ht="16.5" thickTop="1" thickBot="1">
      <c r="A11" s="8">
        <v>9</v>
      </c>
      <c r="B11" s="1"/>
      <c r="C11" s="1"/>
      <c r="D11" s="1"/>
      <c r="E11" s="1"/>
      <c r="F11" s="1"/>
      <c r="G11" s="1"/>
      <c r="H11" s="1"/>
      <c r="I11" s="1"/>
      <c r="J11" s="7"/>
      <c r="K11" t="s">
        <v>1</v>
      </c>
      <c r="L11" t="s">
        <v>1</v>
      </c>
      <c r="M11" t="s">
        <v>1</v>
      </c>
      <c r="N11" t="s">
        <v>1</v>
      </c>
      <c r="O11" s="3" t="s">
        <v>1</v>
      </c>
      <c r="P11" t="s">
        <v>1</v>
      </c>
      <c r="Q11" s="3" t="s">
        <v>1</v>
      </c>
      <c r="R11" s="10">
        <f>GetWinPercentages(I3,J4,K5,L6,M7,N8, O9,P10,Q11)</f>
        <v>0.70689655172413801</v>
      </c>
      <c r="S11" s="12">
        <v>-7</v>
      </c>
    </row>
    <row r="12" spans="1:19" ht="16.5" thickTop="1" thickBot="1">
      <c r="A12" s="8">
        <v>10</v>
      </c>
      <c r="B12" s="1"/>
      <c r="C12" s="1"/>
      <c r="D12" s="1"/>
      <c r="E12" s="1"/>
      <c r="F12" s="1"/>
      <c r="G12" s="1"/>
      <c r="H12" s="1"/>
      <c r="I12" s="1"/>
      <c r="J12" s="1"/>
      <c r="K12" s="7"/>
      <c r="L12" t="s">
        <v>43</v>
      </c>
      <c r="M12" t="s">
        <v>1</v>
      </c>
      <c r="N12" t="s">
        <v>1</v>
      </c>
      <c r="O12" s="3" t="s">
        <v>14</v>
      </c>
      <c r="P12" t="s">
        <v>0</v>
      </c>
      <c r="Q12" s="3" t="s">
        <v>1</v>
      </c>
      <c r="R12" s="10">
        <f>GetWinPercentages(H3,I4,J5,K6,L7,M8,N9, O10,P11,Q12)</f>
        <v>0.75</v>
      </c>
      <c r="S12" s="12">
        <v>-6</v>
      </c>
    </row>
    <row r="13" spans="1:19" ht="16.5" thickTop="1" thickBot="1">
      <c r="A13" s="8">
        <v>11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7"/>
      <c r="M13" t="s">
        <v>1</v>
      </c>
      <c r="N13" t="s">
        <v>1</v>
      </c>
      <c r="O13" s="3" t="s">
        <v>0</v>
      </c>
      <c r="P13" t="s">
        <v>1</v>
      </c>
      <c r="Q13" s="3" t="s">
        <v>1</v>
      </c>
      <c r="R13" s="10">
        <f>GetWinPercentages(G3,H4,I5,J6,K7,L8,M9,N10, O11,P12,Q13)</f>
        <v>0.706806282722513</v>
      </c>
      <c r="S13" s="12">
        <v>-5</v>
      </c>
    </row>
    <row r="14" spans="1:19" ht="16.5" thickTop="1" thickBot="1">
      <c r="A14" s="8">
        <v>12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7"/>
      <c r="N14" t="s">
        <v>49</v>
      </c>
      <c r="O14" s="3" t="s">
        <v>1</v>
      </c>
      <c r="P14" t="s">
        <v>1</v>
      </c>
      <c r="Q14" s="3" t="s">
        <v>1</v>
      </c>
      <c r="R14" s="10">
        <f>GetWinPercentages(F3,G4,H5,I6,J7,K8,L9,M10,N11, O12,P13,Q14)</f>
        <v>0.70967741935483897</v>
      </c>
      <c r="S14" s="12">
        <v>-4</v>
      </c>
    </row>
    <row r="15" spans="1:19" ht="16.5" thickTop="1" thickBot="1">
      <c r="A15" s="8">
        <v>13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7"/>
      <c r="O15" s="3" t="s">
        <v>1</v>
      </c>
      <c r="P15" t="s">
        <v>1</v>
      </c>
      <c r="Q15" s="3" t="s">
        <v>1</v>
      </c>
      <c r="R15" s="10">
        <f>GetWinPercentages(E3,F4,G5,H6,I7,J8,K9,L10,M11,N12, O13,P14,Q15)</f>
        <v>0.60444444444444401</v>
      </c>
      <c r="S15" s="12">
        <v>-3</v>
      </c>
    </row>
    <row r="16" spans="1:19" ht="16.5" thickTop="1" thickBot="1">
      <c r="A16" s="8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7"/>
      <c r="P16" t="s">
        <v>1</v>
      </c>
      <c r="Q16" s="3" t="s">
        <v>1</v>
      </c>
      <c r="R16" s="10">
        <f>GetWinPercentages(D3,E4,F5,G6,H7,I8,J9,K10,L11,M12,N13, O14,P15,Q16)</f>
        <v>0.51219512195121997</v>
      </c>
      <c r="S16" s="12">
        <v>-2</v>
      </c>
    </row>
    <row r="17" spans="1:19" ht="16.5" thickTop="1" thickBot="1">
      <c r="A17" s="8">
        <v>15</v>
      </c>
      <c r="B17" s="2"/>
      <c r="C17" s="2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7"/>
      <c r="Q17" s="3" t="s">
        <v>1</v>
      </c>
      <c r="R17" s="10">
        <f>GetWinPercentages(C3,D4,E5,F6,G7,H8,I9,J10,K11,L12,M13,N14, O15,P16,Q17)</f>
        <v>0.54006968641115005</v>
      </c>
      <c r="S17" s="12">
        <v>-1</v>
      </c>
    </row>
    <row r="18" spans="1:19" ht="16.5" thickTop="1" thickBot="1">
      <c r="A18" s="8">
        <v>16</v>
      </c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7"/>
      <c r="R18" s="10">
        <v>0.5</v>
      </c>
      <c r="S18" s="12">
        <v>0</v>
      </c>
    </row>
    <row r="19" spans="1:19" ht="15.75" thickTop="1"/>
  </sheetData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70"/>
  <sheetViews>
    <sheetView workbookViewId="0">
      <selection activeCell="F50" sqref="F50"/>
    </sheetView>
  </sheetViews>
  <sheetFormatPr defaultRowHeight="15"/>
  <cols>
    <col min="1" max="1" width="21.5703125" customWidth="1"/>
    <col min="2" max="2" width="15.5703125" customWidth="1"/>
    <col min="3" max="3" width="9.42578125" customWidth="1"/>
    <col min="4" max="4" width="11" customWidth="1"/>
    <col min="6" max="6" width="60" customWidth="1"/>
    <col min="7" max="7" width="4.5703125" customWidth="1"/>
    <col min="8" max="8" width="3.42578125" customWidth="1"/>
    <col min="9" max="9" width="4.140625" customWidth="1"/>
    <col min="10" max="10" width="18.5703125" customWidth="1"/>
  </cols>
  <sheetData>
    <row r="1" spans="1:10">
      <c r="A1" s="8" t="s">
        <v>50</v>
      </c>
      <c r="E1" s="8"/>
      <c r="F1" s="8"/>
      <c r="G1" s="8"/>
      <c r="H1" s="8"/>
      <c r="J1" s="8"/>
    </row>
    <row r="2" spans="1:10">
      <c r="A2" s="14" t="s">
        <v>51</v>
      </c>
      <c r="B2" s="14" t="s">
        <v>80</v>
      </c>
      <c r="C2" s="14" t="s">
        <v>111</v>
      </c>
      <c r="D2" s="13" t="s">
        <v>116</v>
      </c>
      <c r="F2" s="15" t="s">
        <v>123</v>
      </c>
    </row>
    <row r="3" spans="1:10">
      <c r="A3" t="s">
        <v>53</v>
      </c>
      <c r="B3">
        <v>94.91</v>
      </c>
      <c r="C3">
        <v>2</v>
      </c>
      <c r="D3" t="s">
        <v>121</v>
      </c>
      <c r="F3" t="str">
        <f t="shared" ref="F3:F18" si="0">"{ ""name"": """&amp;A3&amp;""", ""sagarin"": "&amp;B3&amp;", ""seed"": "&amp;C3&amp;" },"</f>
        <v>{ "name": "Ohio State", "sagarin": 94.91, "seed": 2 },</v>
      </c>
    </row>
    <row r="4" spans="1:10">
      <c r="A4" t="s">
        <v>52</v>
      </c>
      <c r="B4">
        <v>94.35</v>
      </c>
      <c r="C4">
        <v>1</v>
      </c>
      <c r="D4" t="s">
        <v>117</v>
      </c>
      <c r="F4" t="str">
        <f t="shared" si="0"/>
        <v>{ "name": "Kentucky", "sagarin": 94.35, "seed": 1 },</v>
      </c>
    </row>
    <row r="5" spans="1:10">
      <c r="A5" t="s">
        <v>54</v>
      </c>
      <c r="B5">
        <v>93.12</v>
      </c>
      <c r="C5">
        <v>1</v>
      </c>
      <c r="D5" t="s">
        <v>118</v>
      </c>
      <c r="F5" t="str">
        <f t="shared" si="0"/>
        <v>{ "name": "Michigan State", "sagarin": 93.12, "seed": 1 },</v>
      </c>
    </row>
    <row r="6" spans="1:10">
      <c r="A6" t="s">
        <v>55</v>
      </c>
      <c r="B6">
        <v>92.45</v>
      </c>
      <c r="C6">
        <v>2</v>
      </c>
      <c r="D6" t="s">
        <v>119</v>
      </c>
      <c r="F6" t="str">
        <f t="shared" si="0"/>
        <v>{ "name": "Kansas", "sagarin": 92.45, "seed": 2 },</v>
      </c>
    </row>
    <row r="7" spans="1:10">
      <c r="A7" t="s">
        <v>120</v>
      </c>
      <c r="B7">
        <v>91.85</v>
      </c>
      <c r="C7">
        <v>1</v>
      </c>
      <c r="D7" t="s">
        <v>119</v>
      </c>
      <c r="F7" t="str">
        <f t="shared" si="0"/>
        <v>{ "name": "UNC", "sagarin": 91.85, "seed": 1 },</v>
      </c>
    </row>
    <row r="8" spans="1:10">
      <c r="A8" t="s">
        <v>56</v>
      </c>
      <c r="B8">
        <v>91.32</v>
      </c>
      <c r="C8">
        <v>1</v>
      </c>
      <c r="D8" t="s">
        <v>121</v>
      </c>
      <c r="F8" t="str">
        <f t="shared" si="0"/>
        <v>{ "name": "Syracuse", "sagarin": 91.32, "seed": 1 },</v>
      </c>
    </row>
    <row r="9" spans="1:10">
      <c r="A9" t="s">
        <v>57</v>
      </c>
      <c r="B9">
        <v>90.9</v>
      </c>
      <c r="C9">
        <v>2</v>
      </c>
      <c r="D9" t="s">
        <v>118</v>
      </c>
      <c r="F9" t="str">
        <f t="shared" si="0"/>
        <v>{ "name": "Missouri", "sagarin": 90.9, "seed": 2 },</v>
      </c>
    </row>
    <row r="10" spans="1:10">
      <c r="A10" t="s">
        <v>58</v>
      </c>
      <c r="B10">
        <v>90.86</v>
      </c>
      <c r="C10">
        <v>4</v>
      </c>
      <c r="D10" t="s">
        <v>121</v>
      </c>
      <c r="F10" t="str">
        <f t="shared" si="0"/>
        <v>{ "name": "Wisconsin", "sagarin": 90.86, "seed": 4 },</v>
      </c>
    </row>
    <row r="11" spans="1:10">
      <c r="A11" t="s">
        <v>59</v>
      </c>
      <c r="B11">
        <v>89.55</v>
      </c>
      <c r="C11">
        <v>4</v>
      </c>
      <c r="D11" t="s">
        <v>117</v>
      </c>
      <c r="F11" t="str">
        <f t="shared" si="0"/>
        <v>{ "name": "Indiana", "sagarin": 89.55, "seed": 4 },</v>
      </c>
    </row>
    <row r="12" spans="1:10">
      <c r="A12" t="s">
        <v>60</v>
      </c>
      <c r="B12">
        <v>89.47</v>
      </c>
      <c r="C12">
        <v>5</v>
      </c>
      <c r="D12" t="s">
        <v>117</v>
      </c>
      <c r="F12" t="str">
        <f t="shared" si="0"/>
        <v>{ "name": "Wichita State", "sagarin": 89.47, "seed": 5 },</v>
      </c>
    </row>
    <row r="13" spans="1:10">
      <c r="A13" t="s">
        <v>63</v>
      </c>
      <c r="B13">
        <v>88.74</v>
      </c>
      <c r="C13">
        <v>8</v>
      </c>
      <c r="D13" t="s">
        <v>118</v>
      </c>
      <c r="F13" t="str">
        <f t="shared" si="0"/>
        <v>{ "name": "Memphis", "sagarin": 88.74, "seed": 8 },</v>
      </c>
    </row>
    <row r="14" spans="1:10">
      <c r="A14" t="s">
        <v>61</v>
      </c>
      <c r="B14">
        <v>88.27</v>
      </c>
      <c r="C14">
        <v>2</v>
      </c>
      <c r="D14" t="s">
        <v>117</v>
      </c>
      <c r="F14" t="str">
        <f t="shared" si="0"/>
        <v>{ "name": "Duke", "sagarin": 88.27, "seed": 2 },</v>
      </c>
    </row>
    <row r="15" spans="1:10">
      <c r="A15" t="s">
        <v>64</v>
      </c>
      <c r="B15">
        <v>88.11</v>
      </c>
      <c r="C15">
        <v>3</v>
      </c>
      <c r="D15" t="s">
        <v>119</v>
      </c>
      <c r="F15" t="str">
        <f t="shared" si="0"/>
        <v>{ "name": "Georgetown", "sagarin": 88.11, "seed": 3 },</v>
      </c>
    </row>
    <row r="16" spans="1:10">
      <c r="A16" t="s">
        <v>62</v>
      </c>
      <c r="B16">
        <v>87.99</v>
      </c>
      <c r="C16">
        <v>3</v>
      </c>
      <c r="D16" t="s">
        <v>117</v>
      </c>
      <c r="F16" t="str">
        <f t="shared" si="0"/>
        <v>{ "name": "Baylor", "sagarin": 87.99, "seed": 3 },</v>
      </c>
    </row>
    <row r="17" spans="1:6">
      <c r="A17" t="s">
        <v>67</v>
      </c>
      <c r="B17">
        <v>87.7</v>
      </c>
      <c r="C17">
        <v>7</v>
      </c>
      <c r="D17" t="s">
        <v>118</v>
      </c>
      <c r="F17" t="str">
        <f t="shared" si="0"/>
        <v>{ "name": "Florida", "sagarin": 87.7, "seed": 7 },</v>
      </c>
    </row>
    <row r="18" spans="1:6">
      <c r="A18" t="s">
        <v>65</v>
      </c>
      <c r="B18">
        <v>87.5</v>
      </c>
      <c r="C18">
        <v>3</v>
      </c>
      <c r="D18" t="s">
        <v>118</v>
      </c>
      <c r="F18" t="str">
        <f t="shared" si="0"/>
        <v>{ "name": "Marquette", "sagarin": 87.5, "seed": 3 },</v>
      </c>
    </row>
    <row r="19" spans="1:6">
      <c r="A19" t="s">
        <v>66</v>
      </c>
      <c r="B19">
        <v>87.37</v>
      </c>
      <c r="C19">
        <v>5</v>
      </c>
      <c r="D19" t="s">
        <v>118</v>
      </c>
      <c r="F19" t="str">
        <f t="shared" ref="F19:F70" si="1">"{ ""name"": """&amp;A19&amp;""", ""sagarin"": "&amp;B19&amp;", ""seed"": "&amp;C19&amp;" },"</f>
        <v>{ "name": "New Mexico", "sagarin": 87.37, "seed": 5 },</v>
      </c>
    </row>
    <row r="20" spans="1:6">
      <c r="A20" t="s">
        <v>112</v>
      </c>
      <c r="B20">
        <v>87.33</v>
      </c>
      <c r="C20">
        <v>9</v>
      </c>
      <c r="D20" t="s">
        <v>118</v>
      </c>
      <c r="F20" t="str">
        <f t="shared" si="1"/>
        <v>{ "name": "St. Louis", "sagarin": 87.33, "seed": 9 },</v>
      </c>
    </row>
    <row r="21" spans="1:6">
      <c r="A21" t="s">
        <v>68</v>
      </c>
      <c r="B21">
        <v>86.5</v>
      </c>
      <c r="C21">
        <v>4</v>
      </c>
      <c r="D21" t="s">
        <v>118</v>
      </c>
      <c r="F21" t="str">
        <f t="shared" si="1"/>
        <v>{ "name": "Louisville", "sagarin": 86.5, "seed": 4 },</v>
      </c>
    </row>
    <row r="22" spans="1:6">
      <c r="A22" t="s">
        <v>69</v>
      </c>
      <c r="B22">
        <v>86.45</v>
      </c>
      <c r="C22">
        <v>5</v>
      </c>
      <c r="D22" t="s">
        <v>121</v>
      </c>
      <c r="F22" t="str">
        <f t="shared" si="1"/>
        <v>{ "name": "Vanderbilt", "sagarin": 86.45, "seed": 5 },</v>
      </c>
    </row>
    <row r="23" spans="1:6">
      <c r="A23" t="s">
        <v>70</v>
      </c>
      <c r="B23">
        <v>86.17</v>
      </c>
      <c r="C23">
        <v>3</v>
      </c>
      <c r="D23" t="s">
        <v>121</v>
      </c>
      <c r="F23" t="str">
        <f t="shared" si="1"/>
        <v>{ "name": "Florida State", "sagarin": 86.17, "seed": 3 },</v>
      </c>
    </row>
    <row r="24" spans="1:6">
      <c r="A24" t="s">
        <v>71</v>
      </c>
      <c r="B24">
        <v>86.08</v>
      </c>
      <c r="C24">
        <v>8</v>
      </c>
      <c r="D24" t="s">
        <v>121</v>
      </c>
      <c r="F24" t="str">
        <f t="shared" si="1"/>
        <v>{ "name": "Kansas State", "sagarin": 86.08, "seed": 8 },</v>
      </c>
    </row>
    <row r="25" spans="1:6">
      <c r="A25" t="s">
        <v>76</v>
      </c>
      <c r="B25">
        <v>85.61</v>
      </c>
      <c r="C25">
        <v>11</v>
      </c>
      <c r="D25" t="s">
        <v>121</v>
      </c>
      <c r="F25" t="str">
        <f t="shared" si="1"/>
        <v>{ "name": "Texas", "sagarin": 85.61, "seed": 11 },</v>
      </c>
    </row>
    <row r="26" spans="1:6">
      <c r="A26" t="s">
        <v>108</v>
      </c>
      <c r="B26">
        <v>85.6</v>
      </c>
      <c r="C26">
        <v>14</v>
      </c>
      <c r="D26" t="s">
        <v>119</v>
      </c>
      <c r="F26" t="str">
        <f t="shared" si="1"/>
        <v>{ "name": "Belmont", "sagarin": 85.6, "seed": 14 },</v>
      </c>
    </row>
    <row r="27" spans="1:6">
      <c r="A27" t="s">
        <v>122</v>
      </c>
      <c r="B27">
        <v>85.44</v>
      </c>
      <c r="C27">
        <v>12</v>
      </c>
      <c r="D27" t="s">
        <v>119</v>
      </c>
      <c r="F27" t="str">
        <f t="shared" si="1"/>
        <v>{ "name": "California", "sagarin": 85.44, "seed": 12 },</v>
      </c>
    </row>
    <row r="28" spans="1:6">
      <c r="A28" t="s">
        <v>75</v>
      </c>
      <c r="B28">
        <v>85.4</v>
      </c>
      <c r="C28">
        <v>10</v>
      </c>
      <c r="D28" t="s">
        <v>118</v>
      </c>
      <c r="F28" t="str">
        <f t="shared" si="1"/>
        <v>{ "name": "Virginia", "sagarin": 85.4, "seed": 10 },</v>
      </c>
    </row>
    <row r="29" spans="1:6">
      <c r="A29" t="s">
        <v>78</v>
      </c>
      <c r="B29">
        <v>85.26</v>
      </c>
      <c r="C29">
        <v>9</v>
      </c>
      <c r="D29" t="s">
        <v>119</v>
      </c>
      <c r="F29" t="str">
        <f t="shared" si="1"/>
        <v>{ "name": "Alabama", "sagarin": 85.26, "seed": 9 },</v>
      </c>
    </row>
    <row r="30" spans="1:6">
      <c r="A30" t="s">
        <v>73</v>
      </c>
      <c r="B30">
        <v>85.25</v>
      </c>
      <c r="C30">
        <v>6</v>
      </c>
      <c r="D30" t="s">
        <v>117</v>
      </c>
      <c r="F30" t="str">
        <f t="shared" si="1"/>
        <v>{ "name": "UNLV", "sagarin": 85.25, "seed": 6 },</v>
      </c>
    </row>
    <row r="31" spans="1:6">
      <c r="A31" t="s">
        <v>77</v>
      </c>
      <c r="B31">
        <v>85.14</v>
      </c>
      <c r="C31">
        <v>10</v>
      </c>
      <c r="D31" t="s">
        <v>119</v>
      </c>
      <c r="F31" t="str">
        <f t="shared" si="1"/>
        <v>{ "name": "Purdue", "sagarin": 85.14, "seed": 10 },</v>
      </c>
    </row>
    <row r="32" spans="1:6">
      <c r="A32" t="s">
        <v>72</v>
      </c>
      <c r="B32">
        <v>85.13</v>
      </c>
      <c r="C32">
        <v>4</v>
      </c>
      <c r="D32" t="s">
        <v>119</v>
      </c>
      <c r="F32" t="str">
        <f t="shared" si="1"/>
        <v>{ "name": "Michigan", "sagarin": 85.13, "seed": 4 },</v>
      </c>
    </row>
    <row r="33" spans="1:6">
      <c r="A33" t="s">
        <v>74</v>
      </c>
      <c r="B33">
        <v>84.77</v>
      </c>
      <c r="C33">
        <v>8</v>
      </c>
      <c r="D33" t="s">
        <v>119</v>
      </c>
      <c r="F33" t="str">
        <f t="shared" si="1"/>
        <v>{ "name": "Creighton", "sagarin": 84.77, "seed": 8 },</v>
      </c>
    </row>
    <row r="34" spans="1:6">
      <c r="A34" t="s">
        <v>79</v>
      </c>
      <c r="B34">
        <v>84.48</v>
      </c>
      <c r="C34">
        <v>7</v>
      </c>
      <c r="D34" t="s">
        <v>121</v>
      </c>
      <c r="F34" t="str">
        <f t="shared" si="1"/>
        <v>{ "name": "Gonzaga", "sagarin": 84.48, "seed": 7 },</v>
      </c>
    </row>
    <row r="35" spans="1:6">
      <c r="A35" t="s">
        <v>82</v>
      </c>
      <c r="B35">
        <v>84.35</v>
      </c>
      <c r="C35">
        <v>8</v>
      </c>
      <c r="D35" t="s">
        <v>117</v>
      </c>
      <c r="F35" t="str">
        <f t="shared" si="1"/>
        <v>{ "name": "Iowa State", "sagarin": 84.35, "seed": 8 },</v>
      </c>
    </row>
    <row r="36" spans="1:6">
      <c r="A36" t="s">
        <v>83</v>
      </c>
      <c r="B36">
        <v>83.75</v>
      </c>
      <c r="C36">
        <v>9</v>
      </c>
      <c r="D36" t="s">
        <v>117</v>
      </c>
      <c r="F36" t="str">
        <f t="shared" si="1"/>
        <v>{ "name": "Connecticut", "sagarin": 83.75, "seed": 9 },</v>
      </c>
    </row>
    <row r="37" spans="1:6">
      <c r="A37" t="s">
        <v>96</v>
      </c>
      <c r="B37">
        <v>83.69</v>
      </c>
      <c r="C37">
        <v>6</v>
      </c>
      <c r="D37" t="s">
        <v>121</v>
      </c>
      <c r="F37" t="str">
        <f t="shared" si="1"/>
        <v>{ "name": "Cincinatti", "sagarin": 83.69, "seed": 6 },</v>
      </c>
    </row>
    <row r="38" spans="1:6">
      <c r="A38" t="s">
        <v>98</v>
      </c>
      <c r="B38">
        <v>83.69</v>
      </c>
      <c r="C38">
        <v>10</v>
      </c>
      <c r="D38" t="s">
        <v>121</v>
      </c>
      <c r="F38" t="str">
        <f t="shared" si="1"/>
        <v>{ "name": "West Virginia", "sagarin": 83.69, "seed": 10 },</v>
      </c>
    </row>
    <row r="39" spans="1:6">
      <c r="A39" t="s">
        <v>104</v>
      </c>
      <c r="B39">
        <v>83.52</v>
      </c>
      <c r="C39">
        <v>5</v>
      </c>
      <c r="D39" t="s">
        <v>119</v>
      </c>
      <c r="F39" t="str">
        <f t="shared" si="1"/>
        <v>{ "name": "Temple", "sagarin": 83.52, "seed": 5 },</v>
      </c>
    </row>
    <row r="40" spans="1:6">
      <c r="A40" t="s">
        <v>106</v>
      </c>
      <c r="B40">
        <v>83.38</v>
      </c>
      <c r="C40">
        <v>7</v>
      </c>
      <c r="D40" t="s">
        <v>119</v>
      </c>
      <c r="F40" t="str">
        <f t="shared" si="1"/>
        <v>{ "name": "Saint Mary's", "sagarin": 83.38, "seed": 7 },</v>
      </c>
    </row>
    <row r="41" spans="1:6">
      <c r="A41" t="s">
        <v>114</v>
      </c>
      <c r="B41">
        <v>83.23</v>
      </c>
      <c r="C41">
        <v>14</v>
      </c>
      <c r="D41" t="s">
        <v>118</v>
      </c>
      <c r="F41" t="str">
        <f t="shared" si="1"/>
        <v>{ "name": "BYU", "sagarin": 83.23, "seed": 14 },</v>
      </c>
    </row>
    <row r="42" spans="1:6">
      <c r="A42" t="s">
        <v>92</v>
      </c>
      <c r="B42">
        <v>83</v>
      </c>
      <c r="C42">
        <v>12</v>
      </c>
      <c r="D42" t="s">
        <v>118</v>
      </c>
      <c r="F42" t="str">
        <f t="shared" si="1"/>
        <v>{ "name": "Long Beach State", "sagarin": 83, "seed": 12 },</v>
      </c>
    </row>
    <row r="43" spans="1:6">
      <c r="A43" t="s">
        <v>107</v>
      </c>
      <c r="B43">
        <v>82.63</v>
      </c>
      <c r="C43">
        <v>11</v>
      </c>
      <c r="D43" t="s">
        <v>119</v>
      </c>
      <c r="F43" t="str">
        <f t="shared" si="1"/>
        <v>{ "name": "North Carolina State", "sagarin": 82.63, "seed": 11 },</v>
      </c>
    </row>
    <row r="44" spans="1:6">
      <c r="A44" t="s">
        <v>81</v>
      </c>
      <c r="B44">
        <v>82.38</v>
      </c>
      <c r="C44">
        <v>7</v>
      </c>
      <c r="D44" t="s">
        <v>117</v>
      </c>
      <c r="F44" t="str">
        <f t="shared" si="1"/>
        <v>{ "name": "Notre Dame", "sagarin": 82.38, "seed": 7 },</v>
      </c>
    </row>
    <row r="45" spans="1:6">
      <c r="A45" t="s">
        <v>99</v>
      </c>
      <c r="B45">
        <v>82.34</v>
      </c>
      <c r="C45">
        <v>12</v>
      </c>
      <c r="D45" t="s">
        <v>121</v>
      </c>
      <c r="F45" t="str">
        <f t="shared" si="1"/>
        <v>{ "name": "Harvard", "sagarin": 82.34, "seed": 12 },</v>
      </c>
    </row>
    <row r="46" spans="1:6">
      <c r="A46" t="s">
        <v>90</v>
      </c>
      <c r="B46">
        <v>82.01</v>
      </c>
      <c r="C46">
        <v>6</v>
      </c>
      <c r="D46" t="s">
        <v>118</v>
      </c>
      <c r="F46" t="str">
        <f t="shared" si="1"/>
        <v>{ "name": "Murray State", "sagarin": 82.01, "seed": 6 },</v>
      </c>
    </row>
    <row r="47" spans="1:6">
      <c r="A47" t="s">
        <v>125</v>
      </c>
      <c r="B47">
        <v>81.650000000000006</v>
      </c>
      <c r="C47">
        <v>14</v>
      </c>
      <c r="D47" t="s">
        <v>118</v>
      </c>
      <c r="F47" t="str">
        <f t="shared" si="1"/>
        <v>{ "name": "Iona", "sagarin": 81.65, "seed": 14 },</v>
      </c>
    </row>
    <row r="48" spans="1:6">
      <c r="A48" t="s">
        <v>105</v>
      </c>
      <c r="B48">
        <v>81.39</v>
      </c>
      <c r="C48">
        <v>6</v>
      </c>
      <c r="D48" t="s">
        <v>119</v>
      </c>
      <c r="F48" t="str">
        <f t="shared" si="1"/>
        <v>{ "name": "San Diego State", "sagarin": 81.39, "seed": 6 },</v>
      </c>
    </row>
    <row r="49" spans="1:6">
      <c r="A49" t="s">
        <v>86</v>
      </c>
      <c r="B49">
        <v>81.34</v>
      </c>
      <c r="C49">
        <v>12</v>
      </c>
      <c r="D49" t="s">
        <v>117</v>
      </c>
      <c r="F49" t="str">
        <f t="shared" si="1"/>
        <v>{ "name": "VCU", "sagarin": 81.34, "seed": 12 },</v>
      </c>
    </row>
    <row r="50" spans="1:6">
      <c r="A50" t="s">
        <v>84</v>
      </c>
      <c r="B50">
        <v>81.13</v>
      </c>
      <c r="C50">
        <v>10</v>
      </c>
      <c r="D50" t="s">
        <v>117</v>
      </c>
      <c r="F50" t="str">
        <f t="shared" si="1"/>
        <v>{ "name": "Xavier", "sagarin": 81.13, "seed": 10 },</v>
      </c>
    </row>
    <row r="51" spans="1:6">
      <c r="A51" t="s">
        <v>88</v>
      </c>
      <c r="B51">
        <v>80.930000000000007</v>
      </c>
      <c r="C51">
        <v>14</v>
      </c>
      <c r="D51" t="s">
        <v>117</v>
      </c>
      <c r="F51" t="str">
        <f t="shared" si="1"/>
        <v>{ "name": "South Dakota State", "sagarin": 80.93, "seed": 14 },</v>
      </c>
    </row>
    <row r="52" spans="1:6">
      <c r="A52" t="s">
        <v>87</v>
      </c>
      <c r="B52">
        <v>80.89</v>
      </c>
      <c r="C52">
        <v>13</v>
      </c>
      <c r="D52" t="s">
        <v>117</v>
      </c>
      <c r="F52" t="str">
        <f t="shared" si="1"/>
        <v>{ "name": "New Mexico State", "sagarin": 80.89, "seed": 13 },</v>
      </c>
    </row>
    <row r="53" spans="1:6">
      <c r="A53" t="s">
        <v>101</v>
      </c>
      <c r="B53">
        <v>80.87</v>
      </c>
      <c r="C53">
        <v>14</v>
      </c>
      <c r="D53" t="s">
        <v>121</v>
      </c>
      <c r="F53" t="str">
        <f t="shared" si="1"/>
        <v>{ "name": "St. Bonaventure", "sagarin": 80.87, "seed": 14 },</v>
      </c>
    </row>
    <row r="54" spans="1:6">
      <c r="A54" t="s">
        <v>97</v>
      </c>
      <c r="B54">
        <v>80.44</v>
      </c>
      <c r="C54">
        <v>9</v>
      </c>
      <c r="D54" t="s">
        <v>121</v>
      </c>
      <c r="F54" t="str">
        <f t="shared" si="1"/>
        <v>{ "name": "Southern Miss", "sagarin": 80.44, "seed": 9 },</v>
      </c>
    </row>
    <row r="55" spans="1:6">
      <c r="A55" t="s">
        <v>93</v>
      </c>
      <c r="B55">
        <v>80.349999999999994</v>
      </c>
      <c r="C55">
        <v>13</v>
      </c>
      <c r="D55" t="s">
        <v>118</v>
      </c>
      <c r="F55" t="str">
        <f t="shared" si="1"/>
        <v>{ "name": "Davidson", "sagarin": 80.35, "seed": 13 },</v>
      </c>
    </row>
    <row r="56" spans="1:6">
      <c r="A56" t="s">
        <v>127</v>
      </c>
      <c r="B56">
        <v>79.94</v>
      </c>
      <c r="C56">
        <v>12</v>
      </c>
      <c r="D56" t="s">
        <v>119</v>
      </c>
      <c r="F56" t="str">
        <f t="shared" si="1"/>
        <v>{ "name": "South Florida", "sagarin": 79.94, "seed": 12 },</v>
      </c>
    </row>
    <row r="57" spans="1:6">
      <c r="A57" t="s">
        <v>110</v>
      </c>
      <c r="B57">
        <v>79.86</v>
      </c>
      <c r="C57">
        <v>13</v>
      </c>
      <c r="D57" t="s">
        <v>119</v>
      </c>
      <c r="F57" t="str">
        <f t="shared" si="1"/>
        <v>{ "name": "Ohio", "sagarin": 79.86, "seed": 13 },</v>
      </c>
    </row>
    <row r="58" spans="1:6">
      <c r="A58" t="s">
        <v>91</v>
      </c>
      <c r="B58">
        <v>79.31</v>
      </c>
      <c r="C58">
        <v>11</v>
      </c>
      <c r="D58" t="s">
        <v>118</v>
      </c>
      <c r="F58" t="str">
        <f t="shared" si="1"/>
        <v>{ "name": "Colorado State", "sagarin": 79.31, "seed": 11 },</v>
      </c>
    </row>
    <row r="59" spans="1:6">
      <c r="A59" t="s">
        <v>85</v>
      </c>
      <c r="B59">
        <v>79.260000000000005</v>
      </c>
      <c r="C59">
        <v>11</v>
      </c>
      <c r="D59" t="s">
        <v>117</v>
      </c>
      <c r="F59" t="str">
        <f t="shared" si="1"/>
        <v>{ "name": "Colorado", "sagarin": 79.26, "seed": 11 },</v>
      </c>
    </row>
    <row r="60" spans="1:6">
      <c r="A60" t="s">
        <v>89</v>
      </c>
      <c r="B60">
        <v>78.599999999999994</v>
      </c>
      <c r="C60">
        <v>15</v>
      </c>
      <c r="D60" t="s">
        <v>117</v>
      </c>
      <c r="F60" t="str">
        <f t="shared" si="1"/>
        <v>{ "name": "Lehigh", "sagarin": 78.6, "seed": 15 },</v>
      </c>
    </row>
    <row r="61" spans="1:6">
      <c r="A61" t="s">
        <v>100</v>
      </c>
      <c r="B61">
        <v>78.11</v>
      </c>
      <c r="C61">
        <v>13</v>
      </c>
      <c r="D61" t="s">
        <v>121</v>
      </c>
      <c r="F61" t="str">
        <f t="shared" si="1"/>
        <v>{ "name": "Montana", "sagarin": 78.11, "seed": 13 },</v>
      </c>
    </row>
    <row r="62" spans="1:6">
      <c r="A62" t="s">
        <v>115</v>
      </c>
      <c r="B62">
        <v>77.16</v>
      </c>
      <c r="C62">
        <v>16</v>
      </c>
      <c r="D62" t="s">
        <v>119</v>
      </c>
      <c r="F62" t="str">
        <f t="shared" si="1"/>
        <v>{ "name": "Lamar", "sagarin": 77.16, "seed": 16 },</v>
      </c>
    </row>
    <row r="63" spans="1:6">
      <c r="A63" t="s">
        <v>103</v>
      </c>
      <c r="B63">
        <v>76.03</v>
      </c>
      <c r="C63">
        <v>16</v>
      </c>
      <c r="D63" t="s">
        <v>121</v>
      </c>
      <c r="F63" t="str">
        <f t="shared" si="1"/>
        <v>{ "name": "UNC-Asheville", "sagarin": 76.03, "seed": 16 },</v>
      </c>
    </row>
    <row r="64" spans="1:6">
      <c r="A64" t="s">
        <v>109</v>
      </c>
      <c r="B64">
        <v>75.84</v>
      </c>
      <c r="C64">
        <v>15</v>
      </c>
      <c r="D64" t="s">
        <v>119</v>
      </c>
      <c r="F64" t="str">
        <f t="shared" si="1"/>
        <v>{ "name": "Detroit", "sagarin": 75.84, "seed": 15 },</v>
      </c>
    </row>
    <row r="65" spans="1:6">
      <c r="A65" t="s">
        <v>102</v>
      </c>
      <c r="B65">
        <v>74.84</v>
      </c>
      <c r="C65">
        <v>15</v>
      </c>
      <c r="D65" t="s">
        <v>121</v>
      </c>
      <c r="F65" t="str">
        <f t="shared" si="1"/>
        <v>{ "name": "Loyola (MD)", "sagarin": 74.84, "seed": 15 },</v>
      </c>
    </row>
    <row r="66" spans="1:6">
      <c r="A66" t="s">
        <v>126</v>
      </c>
      <c r="B66">
        <v>74.84</v>
      </c>
      <c r="C66">
        <v>16</v>
      </c>
      <c r="D66" t="s">
        <v>119</v>
      </c>
      <c r="F66" t="str">
        <f t="shared" si="1"/>
        <v>{ "name": "Vermont", "sagarin": 74.84, "seed": 16 },</v>
      </c>
    </row>
    <row r="67" spans="1:6">
      <c r="A67" t="s">
        <v>95</v>
      </c>
      <c r="B67">
        <v>72.75</v>
      </c>
      <c r="C67">
        <v>16</v>
      </c>
      <c r="D67" t="s">
        <v>118</v>
      </c>
      <c r="F67" t="str">
        <f t="shared" si="1"/>
        <v>{ "name": "Long Island", "sagarin": 72.75, "seed": 16 },</v>
      </c>
    </row>
    <row r="68" spans="1:6">
      <c r="A68" t="s">
        <v>94</v>
      </c>
      <c r="B68">
        <v>70.52</v>
      </c>
      <c r="C68">
        <v>15</v>
      </c>
      <c r="D68" t="s">
        <v>118</v>
      </c>
      <c r="F68" t="str">
        <f t="shared" si="1"/>
        <v>{ "name": "Norfolk State", "sagarin": 70.52, "seed": 15 },</v>
      </c>
    </row>
    <row r="69" spans="1:6">
      <c r="A69" t="s">
        <v>113</v>
      </c>
      <c r="B69">
        <v>70.040000000000006</v>
      </c>
      <c r="C69">
        <v>16</v>
      </c>
      <c r="D69" t="s">
        <v>117</v>
      </c>
      <c r="F69" t="str">
        <f t="shared" si="1"/>
        <v>{ "name": "Western Kentucky", "sagarin": 70.04, "seed": 16 },</v>
      </c>
    </row>
    <row r="70" spans="1:6">
      <c r="A70" t="s">
        <v>124</v>
      </c>
      <c r="B70">
        <v>67.27</v>
      </c>
      <c r="C70">
        <v>16</v>
      </c>
      <c r="D70" t="s">
        <v>117</v>
      </c>
      <c r="F70" t="str">
        <f t="shared" si="1"/>
        <v>{ "name": "Mississippi Valley State", "sagarin": 67.27, "seed": 16 },</v>
      </c>
    </row>
  </sheetData>
  <autoFilter ref="A2:D62">
    <sortState ref="A3:D70">
      <sortCondition descending="1" ref="B2:B62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</dc:creator>
  <cp:lastModifiedBy>Travis</cp:lastModifiedBy>
  <dcterms:created xsi:type="dcterms:W3CDTF">2012-03-11T22:35:16Z</dcterms:created>
  <dcterms:modified xsi:type="dcterms:W3CDTF">2012-03-15T01:49:52Z</dcterms:modified>
</cp:coreProperties>
</file>